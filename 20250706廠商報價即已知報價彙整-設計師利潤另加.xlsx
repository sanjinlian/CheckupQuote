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安和吳公館20250707" sheetId="1" r:id="rId4"/>
  </sheets>
</workbook>
</file>

<file path=xl/sharedStrings.xml><?xml version="1.0" encoding="utf-8"?>
<sst xmlns="http://schemas.openxmlformats.org/spreadsheetml/2006/main" uniqueCount="100">
  <si>
    <t>三今設計有限公司</t>
  </si>
  <si>
    <t>台北市松山區三民路91號
統一編號：94032785
承辦人：連子沂</t>
  </si>
  <si>
    <t>20250702報價單</t>
  </si>
  <si>
    <t>案名</t>
  </si>
  <si>
    <t>安和吳公館室內設計</t>
  </si>
  <si>
    <t>項次</t>
  </si>
  <si>
    <t>項 目 名 稱</t>
  </si>
  <si>
    <t>數量</t>
  </si>
  <si>
    <t>單位</t>
  </si>
  <si>
    <t>單價</t>
  </si>
  <si>
    <t>複價</t>
  </si>
  <si>
    <t>備註</t>
  </si>
  <si>
    <t>保護/拆除工程</t>
  </si>
  <si>
    <t>保護</t>
  </si>
  <si>
    <t>式</t>
  </si>
  <si>
    <t>垃圾搬運</t>
  </si>
  <si>
    <t>人</t>
  </si>
  <si>
    <t>拆保護</t>
  </si>
  <si>
    <t>房門拆除</t>
  </si>
  <si>
    <t>廢棄物抽裝清運</t>
  </si>
  <si>
    <t>廚具拆除</t>
  </si>
  <si>
    <t>可請木工</t>
  </si>
  <si>
    <t>項目小計（＊項目均含監工管理與協調費用30%）</t>
  </si>
  <si>
    <t>輕隔間及木作工程</t>
  </si>
  <si>
    <t>玄關隔間</t>
  </si>
  <si>
    <t>尺</t>
  </si>
  <si>
    <t>玄關隔間-層板木貼皮</t>
  </si>
  <si>
    <t>片</t>
  </si>
  <si>
    <t>玄關隔間牆-R角</t>
  </si>
  <si>
    <t>大廳部分平釘天花板</t>
  </si>
  <si>
    <t>不含崁燈</t>
  </si>
  <si>
    <t>大廳部分平釘天花板-R角</t>
  </si>
  <si>
    <t>大廳部分包樑假木紋</t>
  </si>
  <si>
    <t>大廳部分樑下吊櫃(貼皮)</t>
  </si>
  <si>
    <t>大廳部分樑下左右吊櫃(波麗)</t>
  </si>
  <si>
    <t>臥室衣櫃鏡子/自行發包</t>
  </si>
  <si>
    <t>才</t>
  </si>
  <si>
    <t>門（不含特殊五金）</t>
  </si>
  <si>
    <t>扇</t>
  </si>
  <si>
    <t>模組化活動家具（含五金）</t>
  </si>
  <si>
    <t>組</t>
  </si>
  <si>
    <r>
      <rPr>
        <u val="single"/>
        <sz val="1"/>
        <color indexed="14"/>
        <rFont val="PMingLiu"/>
      </rPr>
      <t>https://shopee.tw/%E3%80%90%E5%8F%B0%E7%81%A3%E8%A3%BD%E3%80%911.2%E5%90%8B-%E5%B0%BC%E9%BE%8D%E8%BC%AA-%E8%90%AC%E5%90%91%E8%BC%AA-%E6%8E%A8%E8%BB%8A%E8%BC%AA-%E7%85%9E%E8%BB%8A%E8%BC%AA-%E9%9D%9C%E9%9F%B3%E8%BC%AA-%E7%83%8F%E9%BE%9C%E8%BB%8A%E8%BC%AA-%E5%82%A2%E4%BF%B1%E8%BC%AA-%E5%AC%B0%E5%85%92%E5%BA%8A%E8%BC%AA-%E5%B0%8F%E8%BC%AA%E5%AD%90-%E8%BC%95%E5%9E%8B%E8%BC%AA-%E5%B0%8F%E5%9E%8B%E8%BC%AA-i.453475202.21732273352</t>
    </r>
  </si>
  <si>
    <t>硫化銅門工程</t>
  </si>
  <si>
    <t>120cm大門一樘/ch-511</t>
  </si>
  <si>
    <t>樘</t>
  </si>
  <si>
    <t>$40,000~$60,000/樘</t>
  </si>
  <si>
    <t>電子鎖</t>
  </si>
  <si>
    <t>系統櫃工程</t>
  </si>
  <si>
    <t>臥室衣櫃</t>
  </si>
  <si>
    <t>cm</t>
  </si>
  <si>
    <r>
      <rPr>
        <u val="single"/>
        <sz val="9"/>
        <color indexed="14"/>
        <rFont val="PMingLiu"/>
      </rPr>
      <t>https://www.projectktpe.com/products</t>
    </r>
  </si>
  <si>
    <t>廚具吊櫃</t>
  </si>
  <si>
    <t>不鏽鋼廚具工程</t>
  </si>
  <si>
    <t>廚具櫃體(不含工)</t>
  </si>
  <si>
    <t>玻璃</t>
  </si>
  <si>
    <t>油漆工程</t>
  </si>
  <si>
    <t>全室牆面整平</t>
  </si>
  <si>
    <t>坪</t>
  </si>
  <si>
    <t>基本整平600</t>
  </si>
  <si>
    <t>全室牆面刷漆</t>
  </si>
  <si>
    <t>毛坯/新木作批土粉刷</t>
  </si>
  <si>
    <t>遮噴保護</t>
  </si>
  <si>
    <t>四門口門字油漆粉刷</t>
  </si>
  <si>
    <t>木料保護底漆</t>
  </si>
  <si>
    <t>小窗台跳色</t>
  </si>
  <si>
    <t>依照工法價格不同，藝術塗料約15000-22000連工帶料</t>
  </si>
  <si>
    <t>水電工程</t>
  </si>
  <si>
    <t>配電燈出線—玄關吊燈/臥室主燈/大廳崁燈</t>
  </si>
  <si>
    <t>個</t>
  </si>
  <si>
    <t>配開關出線—玄關吊燈/臥室主燈/大廳崁燈</t>
  </si>
  <si>
    <t>配插座出線口—廚具/臥室桌面</t>
  </si>
  <si>
    <t>插座更新</t>
  </si>
  <si>
    <t>軌道燈</t>
  </si>
  <si>
    <t>給排水工程</t>
  </si>
  <si>
    <t>吧台洗手台給排水</t>
  </si>
  <si>
    <t>項目小計項目小計（＊項目均含監工管理與協調費用30%）</t>
  </si>
  <si>
    <t>木地板工程(地面無波紋可使用spc)</t>
  </si>
  <si>
    <t>全室木地板-大廳臥室6.5+1(人字拼)</t>
  </si>
  <si>
    <t>全室木地板-玄關6.5+1</t>
  </si>
  <si>
    <t>窗簾工程</t>
  </si>
  <si>
    <t>玄關處窗簾（無繩手提式窗簾）</t>
  </si>
  <si>
    <t>無繩調光簾</t>
  </si>
  <si>
    <t>臥室窗簾（無繩手提式窗簾）</t>
  </si>
  <si>
    <t>大廳窗簾（無繩手提式窗簾）</t>
  </si>
  <si>
    <t>泥作工程</t>
  </si>
  <si>
    <t>壁癌打除</t>
  </si>
  <si>
    <t>打除後防水工程</t>
  </si>
  <si>
    <t>透明防水漆</t>
  </si>
  <si>
    <t>打除位置及管路紅磚位置粉光</t>
  </si>
  <si>
    <t>項目小計項目小計</t>
  </si>
  <si>
    <t>設計及透視圖項目</t>
  </si>
  <si>
    <t>設計費</t>
  </si>
  <si>
    <t>以下空白</t>
  </si>
  <si>
    <t>總計</t>
  </si>
  <si>
    <t>備註：</t>
  </si>
  <si>
    <t>1.此報價不含5%營業稅，若檢附發票或其他證明請提前告知</t>
  </si>
  <si>
    <t>2.報價以備註規格為主，若有更換材質將另行增減金額</t>
  </si>
  <si>
    <t>3.項目小計均已包含監工管理與協調費用</t>
  </si>
  <si>
    <t>承攬廠商 簽署</t>
  </si>
  <si>
    <t>業主方工程主辦 簽署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</si>
</sst>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&quot; &quot;;(#,##0.0)"/>
    <numFmt numFmtId="60" formatCode="#,##0&quot; &quot;;(#,##0)"/>
    <numFmt numFmtId="61" formatCode="[$&quot;NT$&quot;]#,##0&quot; &quot;;([$&quot;NT$&quot;]#,##0)"/>
  </numFmts>
  <fonts count="17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8"/>
      <color indexed="8"/>
      <name val="PMingLiu"/>
    </font>
    <font>
      <b val="1"/>
      <sz val="14"/>
      <color indexed="8"/>
      <name val="Calibri"/>
    </font>
    <font>
      <sz val="10"/>
      <color indexed="8"/>
      <name val="Arial"/>
    </font>
    <font>
      <sz val="12"/>
      <color indexed="8"/>
      <name val="PMingLiu"/>
    </font>
    <font>
      <sz val="18"/>
      <color indexed="13"/>
      <name val="PMingLiu"/>
    </font>
    <font>
      <sz val="14"/>
      <color indexed="8"/>
      <name val="PMingLiu"/>
    </font>
    <font>
      <sz val="12"/>
      <color indexed="8"/>
      <name val="Microsoft JhengHei"/>
    </font>
    <font>
      <sz val="9"/>
      <color indexed="14"/>
      <name val="PMingLiu"/>
    </font>
    <font>
      <sz val="14"/>
      <color indexed="12"/>
      <name val="PMingLiu"/>
    </font>
    <font>
      <u val="single"/>
      <sz val="1"/>
      <color indexed="14"/>
      <name val="PMingLiu"/>
    </font>
    <font>
      <sz val="9"/>
      <color indexed="15"/>
      <name val="PMingLiu"/>
    </font>
    <font>
      <u val="single"/>
      <sz val="9"/>
      <color indexed="14"/>
      <name val="PMingLiu"/>
    </font>
    <font>
      <sz val="12"/>
      <color indexed="9"/>
      <name val="PMingLiu"/>
    </font>
    <font>
      <sz val="16"/>
      <color indexed="8"/>
      <name val="PMingLiu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4" borderId="1" applyNumberFormat="0" applyFont="1" applyFill="0" applyBorder="1" applyAlignment="1" applyProtection="0">
      <alignment horizontal="left" vertical="center"/>
    </xf>
    <xf numFmtId="0" fontId="3" fillId="2" borderId="2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right" vertical="top" wrapText="1"/>
    </xf>
    <xf numFmtId="49" fontId="4" borderId="1" applyNumberFormat="1" applyFont="1" applyFill="0" applyBorder="1" applyAlignment="1" applyProtection="0">
      <alignment horizontal="left" vertical="center"/>
    </xf>
    <xf numFmtId="49" fontId="5" fillId="2" borderId="4" applyNumberFormat="1" applyFont="1" applyFill="1" applyBorder="1" applyAlignment="1" applyProtection="0">
      <alignment horizontal="right" vertical="top" wrapText="1"/>
    </xf>
    <xf numFmtId="0" fontId="3" fillId="2" borderId="5" applyNumberFormat="0" applyFont="1" applyFill="1" applyBorder="1" applyAlignment="1" applyProtection="0">
      <alignment horizontal="center" vertical="center" wrapText="1"/>
    </xf>
    <xf numFmtId="0" fontId="3" fillId="2" borderId="6" applyNumberFormat="0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center"/>
    </xf>
    <xf numFmtId="0" fontId="0" borderId="9" applyNumberFormat="0" applyFont="1" applyFill="0" applyBorder="1" applyAlignment="1" applyProtection="0">
      <alignment vertical="center"/>
    </xf>
    <xf numFmtId="49" fontId="6" fillId="3" borderId="10" applyNumberFormat="1" applyFont="1" applyFill="1" applyBorder="1" applyAlignment="1" applyProtection="0">
      <alignment horizontal="center" vertical="center" wrapText="1"/>
    </xf>
    <xf numFmtId="49" fontId="6" fillId="3" borderId="11" applyNumberFormat="1" applyFont="1" applyFill="1" applyBorder="1" applyAlignment="1" applyProtection="0">
      <alignment horizontal="center" vertical="center" wrapText="1"/>
    </xf>
    <xf numFmtId="0" fontId="0" borderId="12" applyNumberFormat="0" applyFont="1" applyFill="0" applyBorder="1" applyAlignment="1" applyProtection="0">
      <alignment vertical="center"/>
    </xf>
    <xf numFmtId="10" fontId="6" fillId="3" borderId="10" applyNumberFormat="1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0" fontId="6" fillId="2" borderId="10" applyNumberFormat="1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vertical="center" wrapText="1"/>
    </xf>
    <xf numFmtId="59" fontId="6" fillId="2" borderId="10" applyNumberFormat="1" applyFont="1" applyFill="1" applyBorder="1" applyAlignment="1" applyProtection="0">
      <alignment horizontal="right" vertical="center" wrapText="1"/>
    </xf>
    <xf numFmtId="49" fontId="9" fillId="2" borderId="10" applyNumberFormat="1" applyFont="1" applyFill="1" applyBorder="1" applyAlignment="1" applyProtection="0">
      <alignment horizontal="center" vertical="center" wrapText="1"/>
    </xf>
    <xf numFmtId="60" fontId="6" fillId="2" borderId="10" applyNumberFormat="1" applyFont="1" applyFill="1" applyBorder="1" applyAlignment="1" applyProtection="0">
      <alignment horizontal="right" vertical="center" wrapText="1"/>
    </xf>
    <xf numFmtId="61" fontId="6" fillId="2" borderId="10" applyNumberFormat="1" applyFont="1" applyFill="1" applyBorder="1" applyAlignment="1" applyProtection="0">
      <alignment horizontal="right" vertical="center" wrapText="1"/>
    </xf>
    <xf numFmtId="0" fontId="6" fillId="2" borderId="10" applyNumberFormat="0" applyFont="1" applyFill="1" applyBorder="1" applyAlignment="1" applyProtection="0">
      <alignment horizontal="center" vertical="center" wrapText="1"/>
    </xf>
    <xf numFmtId="49" fontId="10" fillId="2" borderId="10" applyNumberFormat="1" applyFont="1" applyFill="1" applyBorder="1" applyAlignment="1" applyProtection="0">
      <alignment horizontal="left" vertical="center" wrapText="1"/>
    </xf>
    <xf numFmtId="49" fontId="8" fillId="2" borderId="7" applyNumberFormat="1" applyFont="1" applyFill="1" applyBorder="1" applyAlignment="1" applyProtection="0">
      <alignment horizontal="right" vertical="center" wrapText="1"/>
    </xf>
    <xf numFmtId="0" fontId="8" fillId="2" borderId="8" applyNumberFormat="0" applyFont="1" applyFill="1" applyBorder="1" applyAlignment="1" applyProtection="0">
      <alignment horizontal="right" vertical="center" wrapText="1"/>
    </xf>
    <xf numFmtId="0" fontId="8" fillId="2" borderId="9" applyNumberFormat="0" applyFont="1" applyFill="1" applyBorder="1" applyAlignment="1" applyProtection="0">
      <alignment horizontal="right" vertical="center" wrapText="1"/>
    </xf>
    <xf numFmtId="49" fontId="6" fillId="2" borderId="10" applyNumberFormat="1" applyFont="1" applyFill="1" applyBorder="1" applyAlignment="1" applyProtection="0">
      <alignment horizontal="center" vertical="center" wrapText="1"/>
    </xf>
    <xf numFmtId="0" fontId="10" fillId="2" borderId="10" applyNumberFormat="0" applyFont="1" applyFill="1" applyBorder="1" applyAlignment="1" applyProtection="0">
      <alignment horizontal="left" vertical="center" wrapText="1"/>
    </xf>
    <xf numFmtId="49" fontId="11" fillId="2" borderId="10" applyNumberFormat="1" applyFont="1" applyFill="1" applyBorder="1" applyAlignment="1" applyProtection="0">
      <alignment vertical="center" wrapText="1"/>
    </xf>
    <xf numFmtId="49" fontId="12" fillId="2" borderId="10" applyNumberFormat="1" applyFont="1" applyFill="1" applyBorder="1" applyAlignment="1" applyProtection="0">
      <alignment horizontal="left" vertical="center" wrapText="1"/>
    </xf>
    <xf numFmtId="49" fontId="13" fillId="2" borderId="10" applyNumberFormat="1" applyFont="1" applyFill="1" applyBorder="1" applyAlignment="1" applyProtection="0">
      <alignment horizontal="left" vertical="center" wrapText="1"/>
    </xf>
    <xf numFmtId="0" fontId="13" fillId="2" borderId="10" applyNumberFormat="0" applyFont="1" applyFill="1" applyBorder="1" applyAlignment="1" applyProtection="0">
      <alignment horizontal="left" vertical="center" wrapText="1"/>
    </xf>
    <xf numFmtId="49" fontId="14" fillId="2" borderId="10" applyNumberFormat="1" applyFont="1" applyFill="1" applyBorder="1" applyAlignment="1" applyProtection="0">
      <alignment horizontal="left" vertical="center" wrapText="1"/>
    </xf>
    <xf numFmtId="0" fontId="6" fillId="2" borderId="7" applyNumberFormat="0" applyFont="1" applyFill="1" applyBorder="1" applyAlignment="1" applyProtection="0">
      <alignment horizontal="center" vertical="center" wrapText="1"/>
    </xf>
    <xf numFmtId="49" fontId="6" fillId="2" borderId="8" applyNumberFormat="1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10" fontId="15" fillId="2" borderId="10" applyNumberFormat="1" applyFont="1" applyFill="1" applyBorder="1" applyAlignment="1" applyProtection="0">
      <alignment horizontal="right" vertical="center" wrapText="1"/>
    </xf>
    <xf numFmtId="49" fontId="16" fillId="2" borderId="7" applyNumberFormat="1" applyFont="1" applyFill="1" applyBorder="1" applyAlignment="1" applyProtection="0">
      <alignment horizontal="center" vertical="center" wrapText="1"/>
    </xf>
    <xf numFmtId="49" fontId="6" fillId="2" borderId="7" applyNumberFormat="1" applyFont="1" applyFill="1" applyBorder="1" applyAlignment="1" applyProtection="0">
      <alignment horizontal="center" vertical="center" wrapText="1"/>
    </xf>
    <xf numFmtId="61" fontId="8" fillId="2" borderId="7" applyNumberFormat="1" applyFont="1" applyFill="1" applyBorder="1" applyAlignment="1" applyProtection="0">
      <alignment horizontal="center" vertical="center" wrapText="1"/>
    </xf>
    <xf numFmtId="49" fontId="6" fillId="3" borderId="11" applyNumberFormat="1" applyFont="1" applyFill="1" applyBorder="1" applyAlignment="1" applyProtection="0">
      <alignment horizontal="left" vertical="center"/>
    </xf>
    <xf numFmtId="49" fontId="6" fillId="2" borderId="13" applyNumberFormat="1" applyFont="1" applyFill="1" applyBorder="1" applyAlignment="1" applyProtection="0">
      <alignment horizontal="left" vertical="center" wrapText="1"/>
    </xf>
    <xf numFmtId="0" fontId="0" borderId="14" applyNumberFormat="0" applyFont="1" applyFill="0" applyBorder="1" applyAlignment="1" applyProtection="0">
      <alignment vertical="center"/>
    </xf>
    <xf numFmtId="0" fontId="0" borderId="15" applyNumberFormat="0" applyFont="1" applyFill="0" applyBorder="1" applyAlignment="1" applyProtection="0">
      <alignment vertical="center"/>
    </xf>
    <xf numFmtId="49" fontId="6" fillId="2" borderId="16" applyNumberFormat="1" applyFont="1" applyFill="1" applyBorder="1" applyAlignment="1" applyProtection="0">
      <alignment horizontal="left" vertical="center" wrapText="1"/>
    </xf>
    <xf numFmtId="0" fontId="0" borderId="1" applyNumberFormat="0" applyFont="1" applyFill="0" applyBorder="1" applyAlignment="1" applyProtection="0">
      <alignment vertical="center"/>
    </xf>
    <xf numFmtId="0" fontId="0" borderId="17" applyNumberFormat="0" applyFont="1" applyFill="0" applyBorder="1" applyAlignment="1" applyProtection="0">
      <alignment vertical="center"/>
    </xf>
    <xf numFmtId="49" fontId="6" fillId="2" borderId="18" applyNumberFormat="1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vertical="center"/>
    </xf>
    <xf numFmtId="0" fontId="0" borderId="19" applyNumberFormat="0" applyFont="1" applyFill="0" applyBorder="1" applyAlignment="1" applyProtection="0">
      <alignment vertical="center"/>
    </xf>
    <xf numFmtId="0" fontId="8" fillId="2" borderId="10" applyNumberFormat="0" applyFont="1" applyFill="1" applyBorder="1" applyAlignment="1" applyProtection="0">
      <alignment horizontal="right" vertical="center" wrapText="1"/>
    </xf>
    <xf numFmtId="0" fontId="6" fillId="2" borderId="13" applyNumberFormat="0" applyFont="1" applyFill="1" applyBorder="1" applyAlignment="1" applyProtection="0">
      <alignment horizontal="center" vertical="center" wrapText="1"/>
    </xf>
    <xf numFmtId="0" fontId="6" fillId="2" borderId="1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ff0000"/>
      <rgbColor rgb="ff1f497d"/>
      <rgbColor rgb="ff666666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428625</xdr:colOff>
      <xdr:row>1</xdr:row>
      <xdr:rowOff>523875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266700"/>
          <a:ext cx="428625" cy="5238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hopee.tw/%E3%80%90%E5%8F%B0%E7%81%A3%E8%A3%BD%E3%80%911.2%E5%90%8B-%E5%B0%BC%E9%BE%8D%E8%BC%AA-%E8%90%AC%E5%90%91%E8%BC%AA-%E6%8E%A8%E8%BB%8A%E8%BC%AA-%E7%85%9E%E8%BB%8A%E8%BC%AA-%E9%9D%9C%E9%9F%B3%E8%BC%AA-%E7%83%8F%E9%BE%9C%E8%BB%8A%E8%BC%AA-%E5%82%A2%E4%BF%B1%E8%BC%AA-%E5%AC%B0%E5%85%92%E5%BA%8A%E8%BC%AA-%E5%B0%8F%E8%BC%AA%E5%AD%90-%E8%BC%95%E5%9E%8B%E8%BC%AA-%E5%B0%8F%E5%9E%8B%E8%BC%AA-i.453475202.21732273352" TargetMode="External"/><Relationship Id="rId2" Type="http://schemas.openxmlformats.org/officeDocument/2006/relationships/hyperlink" Target="https://www.projectktpe.com/products" TargetMode="External"/><Relationship Id="rId3" Type="http://schemas.openxmlformats.org/officeDocument/2006/relationships/hyperlink" Target="https://www.projectktpe.com/products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81"/>
  <sheetViews>
    <sheetView workbookViewId="0" showGridLines="0" defaultGridColor="1"/>
  </sheetViews>
  <sheetFormatPr defaultColWidth="11.3333" defaultRowHeight="15" customHeight="1" outlineLevelRow="0" outlineLevelCol="0"/>
  <cols>
    <col min="1" max="1" width="6.17188" style="1" customWidth="1"/>
    <col min="2" max="2" width="31.1719" style="1" customWidth="1"/>
    <col min="3" max="3" width="6.5" style="1" customWidth="1"/>
    <col min="4" max="4" width="6.35156" style="1" customWidth="1"/>
    <col min="5" max="6" width="10.3516" style="1" customWidth="1"/>
    <col min="7" max="7" width="11.5" style="1" customWidth="1"/>
    <col min="8" max="8" width="21.3516" style="1" customWidth="1"/>
    <col min="9" max="16384" width="11.3516" style="1" customWidth="1"/>
  </cols>
  <sheetData>
    <row r="1" ht="21" customHeight="1">
      <c r="A1" s="2"/>
      <c r="B1" s="3"/>
      <c r="C1" s="2"/>
      <c r="D1" s="2"/>
      <c r="E1" s="2"/>
      <c r="F1" s="2"/>
      <c r="G1" s="4"/>
      <c r="H1" s="5"/>
    </row>
    <row r="2" ht="42" customHeight="1">
      <c r="A2" s="2"/>
      <c r="B2" t="s" s="6">
        <v>0</v>
      </c>
      <c r="C2" s="2"/>
      <c r="D2" s="2"/>
      <c r="E2" s="2"/>
      <c r="F2" s="2"/>
      <c r="G2" s="4"/>
      <c r="H2" t="s" s="7">
        <v>1</v>
      </c>
    </row>
    <row r="3" ht="48.75" customHeight="1">
      <c r="A3" s="8"/>
      <c r="B3" s="8"/>
      <c r="C3" s="8"/>
      <c r="D3" s="8"/>
      <c r="E3" s="8"/>
      <c r="F3" s="8"/>
      <c r="G3" s="8"/>
      <c r="H3" s="9"/>
    </row>
    <row r="4" ht="38.25" customHeight="1">
      <c r="A4" t="s" s="10">
        <v>2</v>
      </c>
      <c r="B4" s="11"/>
      <c r="C4" s="11"/>
      <c r="D4" s="11"/>
      <c r="E4" s="11"/>
      <c r="F4" s="11"/>
      <c r="G4" s="11"/>
      <c r="H4" s="12"/>
    </row>
    <row r="5" ht="31.5" customHeight="1">
      <c r="A5" t="s" s="13">
        <v>3</v>
      </c>
      <c r="B5" t="s" s="14">
        <v>4</v>
      </c>
      <c r="C5" s="15"/>
      <c r="D5" s="11"/>
      <c r="E5" s="11"/>
      <c r="F5" s="11"/>
      <c r="G5" s="11"/>
      <c r="H5" s="12"/>
    </row>
    <row r="6" ht="39" customHeight="1">
      <c r="A6" t="s" s="13">
        <v>5</v>
      </c>
      <c r="B6" t="s" s="13">
        <v>6</v>
      </c>
      <c r="C6" t="s" s="13">
        <v>7</v>
      </c>
      <c r="D6" t="s" s="13">
        <v>8</v>
      </c>
      <c r="E6" s="16">
        <v>0.35</v>
      </c>
      <c r="F6" t="s" s="13">
        <v>9</v>
      </c>
      <c r="G6" t="s" s="13">
        <v>10</v>
      </c>
      <c r="H6" t="s" s="13">
        <v>11</v>
      </c>
    </row>
    <row r="7" ht="52.5" customHeight="1">
      <c r="A7" t="s" s="17">
        <v>12</v>
      </c>
      <c r="B7" s="11"/>
      <c r="C7" s="11"/>
      <c r="D7" s="11"/>
      <c r="E7" s="11"/>
      <c r="F7" s="11"/>
      <c r="G7" s="11"/>
      <c r="H7" s="12"/>
    </row>
    <row r="8" ht="52.5" customHeight="1">
      <c r="A8" s="18">
        <v>1</v>
      </c>
      <c r="B8" t="s" s="19">
        <v>13</v>
      </c>
      <c r="C8" s="20">
        <v>1</v>
      </c>
      <c r="D8" t="s" s="21">
        <v>14</v>
      </c>
      <c r="E8" s="22">
        <v>2400</v>
      </c>
      <c r="F8" s="22">
        <v>8500</v>
      </c>
      <c r="G8" s="23">
        <f>SUM(C8*F8)</f>
        <v>8500</v>
      </c>
      <c r="H8" s="24"/>
    </row>
    <row r="9" ht="52.5" customHeight="1">
      <c r="A9" s="18">
        <v>2</v>
      </c>
      <c r="B9" t="s" s="19">
        <v>15</v>
      </c>
      <c r="C9" s="20">
        <v>2</v>
      </c>
      <c r="D9" t="s" s="21">
        <v>16</v>
      </c>
      <c r="E9" s="22">
        <v>2400</v>
      </c>
      <c r="F9" s="22">
        <v>3000</v>
      </c>
      <c r="G9" s="23">
        <f>SUM(C9*F9)</f>
        <v>6000</v>
      </c>
      <c r="H9" s="24"/>
    </row>
    <row r="10" ht="52.5" customHeight="1">
      <c r="A10" s="18">
        <v>3</v>
      </c>
      <c r="B10" t="s" s="19">
        <v>17</v>
      </c>
      <c r="C10" s="20">
        <v>2</v>
      </c>
      <c r="D10" t="s" s="21">
        <v>16</v>
      </c>
      <c r="E10" s="22">
        <v>2400</v>
      </c>
      <c r="F10" s="22">
        <v>3000</v>
      </c>
      <c r="G10" s="23">
        <f>SUM(C10*F10)</f>
        <v>6000</v>
      </c>
      <c r="H10" s="24"/>
    </row>
    <row r="11" ht="52.5" customHeight="1">
      <c r="A11" s="18">
        <v>4</v>
      </c>
      <c r="B11" t="s" s="19">
        <v>18</v>
      </c>
      <c r="C11" s="20">
        <v>1</v>
      </c>
      <c r="D11" t="s" s="21">
        <v>14</v>
      </c>
      <c r="E11" s="22"/>
      <c r="F11" s="22">
        <v>3000</v>
      </c>
      <c r="G11" s="23">
        <f>SUM(C11*F11)</f>
        <v>3000</v>
      </c>
      <c r="H11" s="24"/>
    </row>
    <row r="12" ht="52.5" customHeight="1">
      <c r="A12" s="18">
        <v>5</v>
      </c>
      <c r="B12" t="s" s="19">
        <v>19</v>
      </c>
      <c r="C12" s="20">
        <v>2</v>
      </c>
      <c r="D12" t="s" s="21">
        <v>14</v>
      </c>
      <c r="E12" s="22">
        <v>14000</v>
      </c>
      <c r="F12" s="22">
        <v>14500</v>
      </c>
      <c r="G12" s="23">
        <f>SUM(C12*F12)</f>
        <v>29000</v>
      </c>
      <c r="H12" s="24"/>
    </row>
    <row r="13" ht="52.5" customHeight="1">
      <c r="A13" s="18">
        <v>6</v>
      </c>
      <c r="B13" t="s" s="19">
        <v>20</v>
      </c>
      <c r="C13" s="20">
        <v>1</v>
      </c>
      <c r="D13" t="s" s="21">
        <v>14</v>
      </c>
      <c r="E13" s="22">
        <v>6000</v>
      </c>
      <c r="F13" s="22">
        <v>6500</v>
      </c>
      <c r="G13" s="23">
        <f>SUM(C13*F13)</f>
        <v>6500</v>
      </c>
      <c r="H13" t="s" s="25">
        <v>21</v>
      </c>
    </row>
    <row r="14" ht="52.5" customHeight="1">
      <c r="A14" s="24"/>
      <c r="B14" t="s" s="26">
        <v>22</v>
      </c>
      <c r="C14" s="27"/>
      <c r="D14" s="27"/>
      <c r="E14" s="27"/>
      <c r="F14" s="27"/>
      <c r="G14" s="28"/>
      <c r="H14" s="23">
        <f>SUM(G8:G13)</f>
        <v>59000</v>
      </c>
    </row>
    <row r="15" ht="52.5" customHeight="1">
      <c r="A15" t="s" s="17">
        <v>23</v>
      </c>
      <c r="B15" s="11"/>
      <c r="C15" s="11"/>
      <c r="D15" s="11"/>
      <c r="E15" s="11"/>
      <c r="F15" s="11"/>
      <c r="G15" s="11"/>
      <c r="H15" s="12"/>
    </row>
    <row r="16" ht="52.5" customHeight="1">
      <c r="A16" s="18">
        <v>1</v>
      </c>
      <c r="B16" t="s" s="19">
        <v>24</v>
      </c>
      <c r="C16" s="20">
        <v>5</v>
      </c>
      <c r="D16" t="s" s="29">
        <v>25</v>
      </c>
      <c r="E16" s="22">
        <v>2700</v>
      </c>
      <c r="F16" s="22">
        <v>2500</v>
      </c>
      <c r="G16" s="23">
        <f>SUM(C16*F16)</f>
        <v>12500</v>
      </c>
      <c r="H16" s="30"/>
    </row>
    <row r="17" ht="52.5" customHeight="1">
      <c r="A17" s="18">
        <v>2</v>
      </c>
      <c r="B17" t="s" s="19">
        <v>26</v>
      </c>
      <c r="C17" s="20">
        <v>2</v>
      </c>
      <c r="D17" t="s" s="29">
        <v>27</v>
      </c>
      <c r="E17" s="22">
        <v>3600</v>
      </c>
      <c r="F17" s="22">
        <v>3800</v>
      </c>
      <c r="G17" s="23">
        <f>SUM(C17*F17)</f>
        <v>7600</v>
      </c>
      <c r="H17" s="30"/>
    </row>
    <row r="18" ht="52.5" customHeight="1">
      <c r="A18" s="18">
        <v>3</v>
      </c>
      <c r="B18" t="s" s="19">
        <v>28</v>
      </c>
      <c r="C18" s="20">
        <v>3.5</v>
      </c>
      <c r="D18" t="s" s="29">
        <v>25</v>
      </c>
      <c r="E18" s="22">
        <v>2200</v>
      </c>
      <c r="F18" s="22">
        <v>1400</v>
      </c>
      <c r="G18" s="23">
        <f>SUM(C18*F18)</f>
        <v>4900</v>
      </c>
      <c r="H18" s="30"/>
    </row>
    <row r="19" ht="52.5" customHeight="1">
      <c r="A19" s="18">
        <v>4</v>
      </c>
      <c r="B19" t="s" s="19">
        <v>29</v>
      </c>
      <c r="C19" s="20">
        <v>1</v>
      </c>
      <c r="D19" t="s" s="29">
        <v>14</v>
      </c>
      <c r="E19" s="22">
        <v>12000</v>
      </c>
      <c r="F19" s="22">
        <v>12000</v>
      </c>
      <c r="G19" s="23">
        <f>SUM(C19*F19)</f>
        <v>12000</v>
      </c>
      <c r="H19" t="s" s="25">
        <v>30</v>
      </c>
    </row>
    <row r="20" ht="52.5" customHeight="1">
      <c r="A20" s="18">
        <v>5</v>
      </c>
      <c r="B20" t="s" s="19">
        <v>31</v>
      </c>
      <c r="C20" s="20">
        <v>11</v>
      </c>
      <c r="D20" t="s" s="29">
        <v>25</v>
      </c>
      <c r="E20" s="22">
        <v>2200</v>
      </c>
      <c r="F20" s="22">
        <v>1450</v>
      </c>
      <c r="G20" s="23">
        <f>SUM(C20*F20)</f>
        <v>15950</v>
      </c>
      <c r="H20" s="30"/>
    </row>
    <row r="21" ht="52.5" customHeight="1">
      <c r="A21" s="18">
        <v>6</v>
      </c>
      <c r="B21" t="s" s="19">
        <v>32</v>
      </c>
      <c r="C21" s="20">
        <v>6</v>
      </c>
      <c r="D21" t="s" s="29">
        <v>25</v>
      </c>
      <c r="E21" s="22">
        <v>3400</v>
      </c>
      <c r="F21" s="22">
        <v>3000</v>
      </c>
      <c r="G21" s="23">
        <f>SUM(C21*F21)</f>
        <v>18000</v>
      </c>
      <c r="H21" s="30"/>
    </row>
    <row r="22" ht="52.5" customHeight="1">
      <c r="A22" s="18">
        <v>7</v>
      </c>
      <c r="B22" t="s" s="19">
        <v>33</v>
      </c>
      <c r="C22" s="20">
        <v>4.7</v>
      </c>
      <c r="D22" t="s" s="29">
        <v>25</v>
      </c>
      <c r="E22" s="22">
        <v>4500</v>
      </c>
      <c r="F22" s="22">
        <v>2500</v>
      </c>
      <c r="G22" s="23">
        <f>SUM(C22*F22)</f>
        <v>11750</v>
      </c>
      <c r="H22" s="30"/>
    </row>
    <row r="23" ht="52.5" customHeight="1">
      <c r="A23" s="18">
        <v>8</v>
      </c>
      <c r="B23" t="s" s="19">
        <v>34</v>
      </c>
      <c r="C23" s="20">
        <v>5.3</v>
      </c>
      <c r="D23" t="s" s="29">
        <v>25</v>
      </c>
      <c r="E23" s="22"/>
      <c r="F23" s="22">
        <v>3500</v>
      </c>
      <c r="G23" s="23">
        <f>SUM(C23*F23)</f>
        <v>18550</v>
      </c>
      <c r="H23" s="30"/>
    </row>
    <row r="24" ht="52.5" customHeight="1">
      <c r="A24" s="18">
        <v>10</v>
      </c>
      <c r="B24" t="s" s="31">
        <v>35</v>
      </c>
      <c r="C24" s="20">
        <v>6</v>
      </c>
      <c r="D24" t="s" s="29">
        <v>36</v>
      </c>
      <c r="E24" s="22">
        <v>200</v>
      </c>
      <c r="F24" s="22"/>
      <c r="G24" s="23">
        <f>SUM(C24*F24)</f>
        <v>0</v>
      </c>
      <c r="H24" s="30"/>
    </row>
    <row r="25" ht="52.5" customHeight="1">
      <c r="A25" s="18">
        <v>12</v>
      </c>
      <c r="B25" t="s" s="19">
        <v>37</v>
      </c>
      <c r="C25" s="20">
        <v>2</v>
      </c>
      <c r="D25" t="s" s="29">
        <v>38</v>
      </c>
      <c r="E25" s="22">
        <v>12000</v>
      </c>
      <c r="F25" s="22">
        <v>11000</v>
      </c>
      <c r="G25" s="23">
        <f>SUM(C25*F25)</f>
        <v>22000</v>
      </c>
      <c r="H25" s="30"/>
    </row>
    <row r="26" ht="52.5" customHeight="1">
      <c r="A26" s="18">
        <v>13</v>
      </c>
      <c r="B26" t="s" s="19">
        <v>39</v>
      </c>
      <c r="C26" s="20">
        <v>6</v>
      </c>
      <c r="D26" t="s" s="29">
        <v>40</v>
      </c>
      <c r="E26" s="22">
        <v>850</v>
      </c>
      <c r="F26" s="22">
        <v>14500</v>
      </c>
      <c r="G26" s="23">
        <f>SUM(C26*F26)</f>
        <v>87000</v>
      </c>
      <c r="H26" t="s" s="32">
        <v>41</v>
      </c>
    </row>
    <row r="27" ht="52.5" customHeight="1">
      <c r="A27" s="24"/>
      <c r="B27" t="s" s="26">
        <v>22</v>
      </c>
      <c r="C27" s="11"/>
      <c r="D27" s="11"/>
      <c r="E27" s="11"/>
      <c r="F27" s="11"/>
      <c r="G27" s="12"/>
      <c r="H27" s="23">
        <f>SUM(G16:G26)</f>
        <v>210250</v>
      </c>
    </row>
    <row r="28" ht="52.5" customHeight="1">
      <c r="A28" t="s" s="17">
        <v>42</v>
      </c>
      <c r="B28" s="11"/>
      <c r="C28" s="11"/>
      <c r="D28" s="11"/>
      <c r="E28" s="11"/>
      <c r="F28" s="11"/>
      <c r="G28" s="11"/>
      <c r="H28" s="12"/>
    </row>
    <row r="29" ht="52.5" customHeight="1">
      <c r="A29" s="18">
        <v>1</v>
      </c>
      <c r="B29" t="s" s="31">
        <v>43</v>
      </c>
      <c r="C29" s="20">
        <v>1</v>
      </c>
      <c r="D29" t="s" s="29">
        <v>44</v>
      </c>
      <c r="E29" s="22">
        <v>43000</v>
      </c>
      <c r="F29" s="22">
        <v>103500</v>
      </c>
      <c r="G29" s="23">
        <f>SUM(C29*F29)</f>
        <v>103500</v>
      </c>
      <c r="H29" t="s" s="33">
        <v>45</v>
      </c>
    </row>
    <row r="30" ht="52.5" customHeight="1">
      <c r="A30" s="18">
        <v>2</v>
      </c>
      <c r="B30" t="s" s="31">
        <v>46</v>
      </c>
      <c r="C30" s="20">
        <v>1</v>
      </c>
      <c r="D30" t="s" s="29">
        <v>40</v>
      </c>
      <c r="E30" s="22"/>
      <c r="F30" s="22">
        <v>18500</v>
      </c>
      <c r="G30" s="23">
        <f>SUM(C30*F30)</f>
        <v>18500</v>
      </c>
      <c r="H30" s="34"/>
    </row>
    <row r="31" ht="52.5" customHeight="1">
      <c r="A31" t="s" s="17">
        <v>47</v>
      </c>
      <c r="B31" s="11"/>
      <c r="C31" s="11"/>
      <c r="D31" s="11"/>
      <c r="E31" s="11"/>
      <c r="F31" s="11"/>
      <c r="G31" s="11"/>
      <c r="H31" s="12"/>
    </row>
    <row r="32" ht="52.5" customHeight="1">
      <c r="A32" s="18">
        <v>1</v>
      </c>
      <c r="B32" t="s" s="19">
        <v>48</v>
      </c>
      <c r="C32" s="20">
        <v>180</v>
      </c>
      <c r="D32" t="s" s="29">
        <v>49</v>
      </c>
      <c r="E32" t="s" s="29">
        <v>49</v>
      </c>
      <c r="F32" s="22">
        <v>225</v>
      </c>
      <c r="G32" s="23">
        <f>SUM(C32*F32)</f>
        <v>40500</v>
      </c>
      <c r="H32" t="s" s="35">
        <v>50</v>
      </c>
    </row>
    <row r="33" ht="59.25" customHeight="1">
      <c r="A33" s="18">
        <v>3</v>
      </c>
      <c r="B33" t="s" s="19">
        <v>51</v>
      </c>
      <c r="C33" s="20">
        <v>250</v>
      </c>
      <c r="D33" t="s" s="29">
        <v>49</v>
      </c>
      <c r="E33" s="22">
        <v>380</v>
      </c>
      <c r="F33" s="22">
        <v>85</v>
      </c>
      <c r="G33" s="23">
        <f>SUM(C33*F33)</f>
        <v>21250</v>
      </c>
      <c r="H33" s="30"/>
    </row>
    <row r="34" ht="52.5" customHeight="1">
      <c r="A34" s="24"/>
      <c r="B34" t="s" s="26">
        <v>22</v>
      </c>
      <c r="C34" s="11"/>
      <c r="D34" s="11"/>
      <c r="E34" s="11"/>
      <c r="F34" s="11"/>
      <c r="G34" s="12"/>
      <c r="H34" s="23">
        <f>SUM(G32:G33)</f>
        <v>61750</v>
      </c>
    </row>
    <row r="35" ht="52.5" customHeight="1">
      <c r="A35" t="s" s="17">
        <v>52</v>
      </c>
      <c r="B35" s="11"/>
      <c r="C35" s="11"/>
      <c r="D35" s="11"/>
      <c r="E35" s="11"/>
      <c r="F35" s="11"/>
      <c r="G35" s="11"/>
      <c r="H35" s="12"/>
    </row>
    <row r="36" ht="52.5" customHeight="1">
      <c r="A36" s="18">
        <v>1</v>
      </c>
      <c r="B36" t="s" s="19">
        <v>53</v>
      </c>
      <c r="C36" s="20">
        <v>1</v>
      </c>
      <c r="D36" t="s" s="29">
        <v>14</v>
      </c>
      <c r="E36" s="22">
        <v>86000</v>
      </c>
      <c r="F36" s="22">
        <f>E36/(1-E6)</f>
        <v>132307.692307692</v>
      </c>
      <c r="G36" s="23">
        <f>SUM(C36*F36)</f>
        <v>132307.692307692</v>
      </c>
      <c r="H36" t="s" s="35">
        <v>50</v>
      </c>
    </row>
    <row r="37" ht="59.25" customHeight="1">
      <c r="A37" s="18">
        <v>3</v>
      </c>
      <c r="B37" t="s" s="19">
        <v>54</v>
      </c>
      <c r="C37" s="20">
        <v>5</v>
      </c>
      <c r="D37" t="s" s="29">
        <v>36</v>
      </c>
      <c r="E37" s="22">
        <v>380</v>
      </c>
      <c r="F37" s="22">
        <f>E37/(1-E6)</f>
        <v>584.615384615385</v>
      </c>
      <c r="G37" s="23">
        <f>SUM(C37*F37)</f>
        <v>2923.076923076930</v>
      </c>
      <c r="H37" s="30"/>
    </row>
    <row r="38" ht="52.5" customHeight="1">
      <c r="A38" s="24"/>
      <c r="B38" t="s" s="26">
        <v>22</v>
      </c>
      <c r="C38" s="11"/>
      <c r="D38" s="11"/>
      <c r="E38" s="11"/>
      <c r="F38" s="11"/>
      <c r="G38" s="12"/>
      <c r="H38" s="23">
        <f>SUM(G36:G37)</f>
        <v>135230.769230769</v>
      </c>
    </row>
    <row r="39" ht="52.5" customHeight="1">
      <c r="A39" t="s" s="17">
        <v>55</v>
      </c>
      <c r="B39" s="11"/>
      <c r="C39" s="11"/>
      <c r="D39" s="11"/>
      <c r="E39" s="11"/>
      <c r="F39" s="11"/>
      <c r="G39" s="11"/>
      <c r="H39" s="12"/>
    </row>
    <row r="40" ht="52.5" customHeight="1">
      <c r="A40" s="18">
        <v>1</v>
      </c>
      <c r="B40" t="s" s="19">
        <v>56</v>
      </c>
      <c r="C40" s="20">
        <v>48</v>
      </c>
      <c r="D40" t="s" s="29">
        <v>57</v>
      </c>
      <c r="E40" s="22">
        <v>850</v>
      </c>
      <c r="F40" s="22">
        <v>1200</v>
      </c>
      <c r="G40" s="23">
        <f>SUM(C40*F40)</f>
        <v>57600</v>
      </c>
      <c r="H40" t="s" s="25">
        <v>58</v>
      </c>
    </row>
    <row r="41" ht="52.5" customHeight="1">
      <c r="A41" s="18">
        <v>2</v>
      </c>
      <c r="B41" t="s" s="19">
        <v>59</v>
      </c>
      <c r="C41" s="20">
        <v>48</v>
      </c>
      <c r="D41" t="s" s="29">
        <v>57</v>
      </c>
      <c r="E41" s="22">
        <v>950</v>
      </c>
      <c r="F41" s="22">
        <v>600</v>
      </c>
      <c r="G41" s="23">
        <f>SUM(C41*F41)</f>
        <v>28800</v>
      </c>
      <c r="H41" s="30"/>
    </row>
    <row r="42" ht="52.5" customHeight="1">
      <c r="A42" s="18">
        <v>3</v>
      </c>
      <c r="B42" t="s" s="19">
        <v>60</v>
      </c>
      <c r="C42" s="20">
        <v>10</v>
      </c>
      <c r="D42" t="s" s="29">
        <v>57</v>
      </c>
      <c r="E42" s="22">
        <v>980</v>
      </c>
      <c r="F42" s="22">
        <v>2100</v>
      </c>
      <c r="G42" s="23">
        <f>SUM(C42*F42)</f>
        <v>21000</v>
      </c>
      <c r="H42" s="30"/>
    </row>
    <row r="43" ht="52.5" customHeight="1">
      <c r="A43" s="18">
        <v>4</v>
      </c>
      <c r="B43" t="s" s="19">
        <v>61</v>
      </c>
      <c r="C43" s="20">
        <v>1</v>
      </c>
      <c r="D43" t="s" s="29">
        <v>14</v>
      </c>
      <c r="E43" s="22">
        <v>7500</v>
      </c>
      <c r="F43" s="22">
        <v>5000</v>
      </c>
      <c r="G43" s="23">
        <f>SUM(C43*F43)</f>
        <v>5000</v>
      </c>
      <c r="H43" s="30"/>
    </row>
    <row r="44" ht="52.5" customHeight="1">
      <c r="A44" s="18">
        <v>5</v>
      </c>
      <c r="B44" t="s" s="19">
        <v>62</v>
      </c>
      <c r="C44" s="20">
        <v>4</v>
      </c>
      <c r="D44" t="s" s="29">
        <v>14</v>
      </c>
      <c r="E44" s="22">
        <v>6000</v>
      </c>
      <c r="F44" s="22">
        <v>3200</v>
      </c>
      <c r="G44" s="23">
        <f>SUM(C44*F44)</f>
        <v>12800</v>
      </c>
      <c r="H44" s="24"/>
    </row>
    <row r="45" ht="52.5" customHeight="1">
      <c r="A45" s="18">
        <v>6</v>
      </c>
      <c r="B45" t="s" s="19">
        <v>63</v>
      </c>
      <c r="C45" s="20">
        <v>1</v>
      </c>
      <c r="D45" t="s" s="29">
        <v>14</v>
      </c>
      <c r="E45" s="22">
        <v>18000</v>
      </c>
      <c r="F45" s="22">
        <v>18000</v>
      </c>
      <c r="G45" s="23">
        <f>SUM(C45*F45)</f>
        <v>18000</v>
      </c>
      <c r="H45" s="24"/>
    </row>
    <row r="46" ht="52.5" customHeight="1">
      <c r="A46" s="18">
        <v>7</v>
      </c>
      <c r="B46" t="s" s="19">
        <v>64</v>
      </c>
      <c r="C46" s="20">
        <v>1</v>
      </c>
      <c r="D46" t="s" s="29">
        <v>14</v>
      </c>
      <c r="E46" s="22">
        <v>18000</v>
      </c>
      <c r="F46" s="22">
        <v>24000</v>
      </c>
      <c r="G46" s="23">
        <f>SUM(C46*F46)</f>
        <v>24000</v>
      </c>
      <c r="H46" t="s" s="25">
        <v>65</v>
      </c>
    </row>
    <row r="47" ht="52.5" customHeight="1">
      <c r="A47" s="24"/>
      <c r="B47" t="s" s="26">
        <v>22</v>
      </c>
      <c r="C47" s="11"/>
      <c r="D47" s="11"/>
      <c r="E47" s="11"/>
      <c r="F47" s="11"/>
      <c r="G47" s="12"/>
      <c r="H47" s="23">
        <f>SUM(G40:G46)</f>
        <v>167200</v>
      </c>
    </row>
    <row r="48" ht="52.5" customHeight="1">
      <c r="A48" t="s" s="17">
        <v>66</v>
      </c>
      <c r="B48" s="11"/>
      <c r="C48" s="11"/>
      <c r="D48" s="11"/>
      <c r="E48" s="11"/>
      <c r="F48" s="11"/>
      <c r="G48" s="11"/>
      <c r="H48" s="12"/>
    </row>
    <row r="49" ht="52.5" customHeight="1">
      <c r="A49" s="18">
        <v>1</v>
      </c>
      <c r="B49" t="s" s="19">
        <v>67</v>
      </c>
      <c r="C49" s="20">
        <v>3</v>
      </c>
      <c r="D49" t="s" s="29">
        <v>68</v>
      </c>
      <c r="E49" s="22">
        <v>1500</v>
      </c>
      <c r="F49" s="22">
        <f>E49/(1-E6)</f>
        <v>2307.692307692310</v>
      </c>
      <c r="G49" s="23">
        <f>SUM(C49*F49)</f>
        <v>6923.076923076930</v>
      </c>
      <c r="H49" s="24"/>
    </row>
    <row r="50" ht="52.5" customHeight="1">
      <c r="A50" s="18">
        <v>2</v>
      </c>
      <c r="B50" t="s" s="19">
        <v>69</v>
      </c>
      <c r="C50" s="20">
        <v>3</v>
      </c>
      <c r="D50" t="s" s="29">
        <v>68</v>
      </c>
      <c r="E50" s="22">
        <v>1500</v>
      </c>
      <c r="F50" s="22">
        <f>E50/(1-E6)</f>
        <v>2307.692307692310</v>
      </c>
      <c r="G50" s="23">
        <f>SUM(C50*F50)</f>
        <v>6923.076923076930</v>
      </c>
      <c r="H50" s="24"/>
    </row>
    <row r="51" ht="52.5" customHeight="1">
      <c r="A51" s="18">
        <v>3</v>
      </c>
      <c r="B51" t="s" s="19">
        <v>70</v>
      </c>
      <c r="C51" s="20">
        <v>2</v>
      </c>
      <c r="D51" t="s" s="29">
        <v>68</v>
      </c>
      <c r="E51" s="22">
        <v>1500</v>
      </c>
      <c r="F51" s="22">
        <f>E51/(1-E6)</f>
        <v>2307.692307692310</v>
      </c>
      <c r="G51" s="23">
        <f>SUM(C51*F51)</f>
        <v>4615.384615384620</v>
      </c>
      <c r="H51" s="24"/>
    </row>
    <row r="52" ht="52.5" customHeight="1">
      <c r="A52" s="18">
        <v>5</v>
      </c>
      <c r="B52" t="s" s="19">
        <v>71</v>
      </c>
      <c r="C52" s="20">
        <v>12</v>
      </c>
      <c r="D52" t="s" s="29">
        <v>68</v>
      </c>
      <c r="E52" s="22">
        <v>140</v>
      </c>
      <c r="F52" s="22">
        <f>E52/(1-E6)</f>
        <v>215.384615384615</v>
      </c>
      <c r="G52" s="23">
        <f>SUM(C52*F52)</f>
        <v>2584.615384615380</v>
      </c>
      <c r="H52" s="24"/>
    </row>
    <row r="53" ht="52.5" customHeight="1">
      <c r="A53" s="18">
        <v>6</v>
      </c>
      <c r="B53" t="s" s="19">
        <v>72</v>
      </c>
      <c r="C53" s="20">
        <v>5</v>
      </c>
      <c r="D53" t="s" s="29">
        <v>40</v>
      </c>
      <c r="E53" s="22">
        <v>200</v>
      </c>
      <c r="F53" s="22">
        <f>E53/(1-E6)</f>
        <v>307.692307692308</v>
      </c>
      <c r="G53" s="23">
        <f>SUM(C53*F53)</f>
        <v>1538.461538461540</v>
      </c>
      <c r="H53" s="24"/>
    </row>
    <row r="54" ht="52.5" customHeight="1">
      <c r="A54" s="36"/>
      <c r="B54" t="s" s="37">
        <v>73</v>
      </c>
      <c r="C54" s="11"/>
      <c r="D54" s="11"/>
      <c r="E54" s="11"/>
      <c r="F54" s="11"/>
      <c r="G54" s="11"/>
      <c r="H54" s="12"/>
    </row>
    <row r="55" ht="52.5" customHeight="1">
      <c r="A55" s="18">
        <v>1</v>
      </c>
      <c r="B55" t="s" s="19">
        <v>74</v>
      </c>
      <c r="C55" s="20">
        <v>1</v>
      </c>
      <c r="D55" t="s" s="29">
        <v>14</v>
      </c>
      <c r="E55" s="22">
        <v>5000</v>
      </c>
      <c r="F55" s="22">
        <f>E55/(1-E6)</f>
        <v>7692.307692307690</v>
      </c>
      <c r="G55" s="23">
        <f>SUM(C55*F55)</f>
        <v>7692.307692307690</v>
      </c>
      <c r="H55" s="24"/>
    </row>
    <row r="56" ht="52.5" customHeight="1">
      <c r="A56" s="24"/>
      <c r="B56" t="s" s="26">
        <v>75</v>
      </c>
      <c r="C56" s="11"/>
      <c r="D56" s="11"/>
      <c r="E56" s="11"/>
      <c r="F56" s="11"/>
      <c r="G56" s="12"/>
      <c r="H56" s="23">
        <f>SUM(G49:G56)</f>
        <v>30276.9230769231</v>
      </c>
    </row>
    <row r="57" ht="52.5" customHeight="1">
      <c r="A57" t="s" s="17">
        <v>76</v>
      </c>
      <c r="B57" s="11"/>
      <c r="C57" s="11"/>
      <c r="D57" s="11"/>
      <c r="E57" s="11"/>
      <c r="F57" s="11"/>
      <c r="G57" s="11"/>
      <c r="H57" s="12"/>
    </row>
    <row r="58" ht="52.5" customHeight="1">
      <c r="A58" s="18">
        <v>1</v>
      </c>
      <c r="B58" t="s" s="19">
        <v>77</v>
      </c>
      <c r="C58" s="20">
        <v>2</v>
      </c>
      <c r="D58" t="s" s="29">
        <v>57</v>
      </c>
      <c r="E58" s="22">
        <v>4800</v>
      </c>
      <c r="F58" s="22">
        <v>6200</v>
      </c>
      <c r="G58" s="23">
        <f>SUM(C58*F58)</f>
        <v>12400</v>
      </c>
      <c r="H58" s="24"/>
    </row>
    <row r="59" ht="52.5" customHeight="1">
      <c r="A59" s="18">
        <v>2</v>
      </c>
      <c r="B59" t="s" s="19">
        <v>78</v>
      </c>
      <c r="C59" s="20">
        <v>15</v>
      </c>
      <c r="D59" t="s" s="29">
        <v>57</v>
      </c>
      <c r="E59" s="22">
        <v>3200</v>
      </c>
      <c r="F59" s="22">
        <v>3400</v>
      </c>
      <c r="G59" s="23">
        <f>SUM(C59*F59)</f>
        <v>51000</v>
      </c>
      <c r="H59" s="24"/>
    </row>
    <row r="60" ht="52.5" customHeight="1">
      <c r="A60" s="24"/>
      <c r="B60" t="s" s="26">
        <v>22</v>
      </c>
      <c r="C60" s="11"/>
      <c r="D60" s="11"/>
      <c r="E60" s="11"/>
      <c r="F60" s="11"/>
      <c r="G60" s="12"/>
      <c r="H60" s="23">
        <f>SUM(G58:G59)</f>
        <v>63400</v>
      </c>
    </row>
    <row r="61" ht="52.5" customHeight="1">
      <c r="A61" t="s" s="17">
        <v>79</v>
      </c>
      <c r="B61" s="11"/>
      <c r="C61" s="11"/>
      <c r="D61" s="11"/>
      <c r="E61" s="11"/>
      <c r="F61" s="11"/>
      <c r="G61" s="11"/>
      <c r="H61" s="12"/>
    </row>
    <row r="62" ht="52.5" customHeight="1">
      <c r="A62" s="18">
        <v>1</v>
      </c>
      <c r="B62" t="s" s="19">
        <v>80</v>
      </c>
      <c r="C62" s="20">
        <v>1</v>
      </c>
      <c r="D62" t="s" s="29">
        <v>14</v>
      </c>
      <c r="E62" s="22">
        <v>0</v>
      </c>
      <c r="F62" s="22"/>
      <c r="G62" s="23">
        <f>SUM(C62*E62)</f>
        <v>0</v>
      </c>
      <c r="H62" t="s" s="25">
        <v>81</v>
      </c>
    </row>
    <row r="63" ht="52.5" customHeight="1">
      <c r="A63" s="18">
        <v>2</v>
      </c>
      <c r="B63" t="s" s="19">
        <v>82</v>
      </c>
      <c r="C63" s="20">
        <v>1</v>
      </c>
      <c r="D63" t="s" s="29">
        <v>14</v>
      </c>
      <c r="E63" s="22">
        <v>0</v>
      </c>
      <c r="F63" s="22"/>
      <c r="G63" s="23">
        <f>SUM(C63*E63)</f>
        <v>0</v>
      </c>
      <c r="H63" t="s" s="25">
        <v>81</v>
      </c>
    </row>
    <row r="64" ht="52.5" customHeight="1">
      <c r="A64" s="18">
        <v>3</v>
      </c>
      <c r="B64" t="s" s="19">
        <v>83</v>
      </c>
      <c r="C64" s="20">
        <v>1</v>
      </c>
      <c r="D64" t="s" s="29">
        <v>14</v>
      </c>
      <c r="E64" s="22">
        <v>0</v>
      </c>
      <c r="F64" s="22"/>
      <c r="G64" s="23">
        <f>SUM(C64*E64)</f>
        <v>0</v>
      </c>
      <c r="H64" t="s" s="25">
        <v>81</v>
      </c>
    </row>
    <row r="65" ht="52.5" customHeight="1">
      <c r="A65" s="24"/>
      <c r="B65" t="s" s="26">
        <v>22</v>
      </c>
      <c r="C65" s="11"/>
      <c r="D65" s="11"/>
      <c r="E65" s="11"/>
      <c r="F65" s="11"/>
      <c r="G65" s="12"/>
      <c r="H65" s="23">
        <f>SUM(G61:G64)</f>
        <v>0</v>
      </c>
    </row>
    <row r="66" ht="52.5" customHeight="1">
      <c r="A66" t="s" s="17">
        <v>84</v>
      </c>
      <c r="B66" s="11"/>
      <c r="C66" s="11"/>
      <c r="D66" s="11"/>
      <c r="E66" s="11"/>
      <c r="F66" s="11"/>
      <c r="G66" s="11"/>
      <c r="H66" s="12"/>
    </row>
    <row r="67" ht="52.5" customHeight="1">
      <c r="A67" s="18">
        <v>1</v>
      </c>
      <c r="B67" t="s" s="19">
        <v>85</v>
      </c>
      <c r="C67" s="20">
        <v>1</v>
      </c>
      <c r="D67" t="s" s="29">
        <v>14</v>
      </c>
      <c r="E67" s="22"/>
      <c r="F67" s="22">
        <v>7500</v>
      </c>
      <c r="G67" s="23">
        <f>SUM(C67*F67)</f>
        <v>7500</v>
      </c>
      <c r="H67" s="30"/>
    </row>
    <row r="68" ht="52.5" customHeight="1">
      <c r="A68" s="18">
        <v>2</v>
      </c>
      <c r="B68" t="s" s="19">
        <v>86</v>
      </c>
      <c r="C68" s="20">
        <v>1</v>
      </c>
      <c r="D68" t="s" s="29">
        <v>14</v>
      </c>
      <c r="E68" s="22"/>
      <c r="F68" s="22">
        <v>8500</v>
      </c>
      <c r="G68" s="23">
        <f>SUM(C68*F68)</f>
        <v>8500</v>
      </c>
      <c r="H68" t="s" s="25">
        <v>87</v>
      </c>
    </row>
    <row r="69" ht="52.5" customHeight="1">
      <c r="A69" s="18">
        <v>3</v>
      </c>
      <c r="B69" t="s" s="19">
        <v>88</v>
      </c>
      <c r="C69" s="20">
        <v>1</v>
      </c>
      <c r="D69" t="s" s="29">
        <v>14</v>
      </c>
      <c r="E69" s="22"/>
      <c r="F69" s="22">
        <v>16000</v>
      </c>
      <c r="G69" s="23">
        <f>SUM(C69*F69)</f>
        <v>16000</v>
      </c>
      <c r="H69" s="30"/>
    </row>
    <row r="70" ht="52.5" customHeight="1">
      <c r="A70" s="24"/>
      <c r="B70" t="s" s="26">
        <v>89</v>
      </c>
      <c r="C70" s="11"/>
      <c r="D70" s="11"/>
      <c r="E70" s="11"/>
      <c r="F70" s="11"/>
      <c r="G70" s="12"/>
      <c r="H70" s="23">
        <f>SUM(G67:G70)</f>
        <v>32000</v>
      </c>
    </row>
    <row r="71" ht="52.5" customHeight="1">
      <c r="A71" t="s" s="17">
        <v>90</v>
      </c>
      <c r="B71" s="11"/>
      <c r="C71" s="11"/>
      <c r="D71" s="11"/>
      <c r="E71" s="11"/>
      <c r="F71" s="11"/>
      <c r="G71" s="11"/>
      <c r="H71" s="12"/>
    </row>
    <row r="72" ht="52.5" customHeight="1">
      <c r="A72" s="38"/>
      <c r="B72" t="s" s="19">
        <v>91</v>
      </c>
      <c r="C72" s="20">
        <v>15</v>
      </c>
      <c r="D72" t="s" s="29">
        <v>57</v>
      </c>
      <c r="E72" s="22">
        <v>5000</v>
      </c>
      <c r="F72" s="22"/>
      <c r="G72" s="23">
        <f>SUM(C72*E72)</f>
        <v>75000</v>
      </c>
      <c r="H72" s="39"/>
    </row>
    <row r="73" ht="52.5" customHeight="1">
      <c r="A73" t="s" s="40">
        <v>92</v>
      </c>
      <c r="B73" s="11"/>
      <c r="C73" s="11"/>
      <c r="D73" s="11"/>
      <c r="E73" s="11"/>
      <c r="F73" s="11"/>
      <c r="G73" s="11"/>
      <c r="H73" s="12"/>
    </row>
    <row r="74" ht="57" customHeight="1">
      <c r="A74" t="s" s="41">
        <v>93</v>
      </c>
      <c r="B74" s="11"/>
      <c r="C74" s="11"/>
      <c r="D74" s="11"/>
      <c r="E74" s="12"/>
      <c r="F74" s="24"/>
      <c r="G74" s="42">
        <f>SUM(G7:G72)</f>
        <v>956107.692307692</v>
      </c>
      <c r="H74" s="12"/>
    </row>
    <row r="75" ht="24.75" customHeight="1">
      <c r="A75" t="s" s="43">
        <v>94</v>
      </c>
      <c r="B75" s="15"/>
      <c r="C75" s="11"/>
      <c r="D75" s="11"/>
      <c r="E75" s="11"/>
      <c r="F75" s="11"/>
      <c r="G75" s="11"/>
      <c r="H75" s="12"/>
    </row>
    <row r="76" ht="29.25" customHeight="1">
      <c r="A76" t="s" s="44">
        <v>95</v>
      </c>
      <c r="B76" s="45"/>
      <c r="C76" s="45"/>
      <c r="D76" s="45"/>
      <c r="E76" s="45"/>
      <c r="F76" s="45"/>
      <c r="G76" s="45"/>
      <c r="H76" s="46"/>
    </row>
    <row r="77" ht="29.25" customHeight="1">
      <c r="A77" t="s" s="47">
        <v>96</v>
      </c>
      <c r="B77" s="48"/>
      <c r="C77" s="48"/>
      <c r="D77" s="48"/>
      <c r="E77" s="48"/>
      <c r="F77" s="48"/>
      <c r="G77" s="48"/>
      <c r="H77" s="49"/>
    </row>
    <row r="78" ht="29.25" customHeight="1">
      <c r="A78" t="s" s="50">
        <v>97</v>
      </c>
      <c r="B78" s="51"/>
      <c r="C78" s="51"/>
      <c r="D78" s="51"/>
      <c r="E78" s="51"/>
      <c r="F78" s="51"/>
      <c r="G78" s="51"/>
      <c r="H78" s="52"/>
    </row>
    <row r="79" ht="57" customHeight="1">
      <c r="A79" t="s" s="26">
        <v>98</v>
      </c>
      <c r="B79" s="11"/>
      <c r="C79" s="11"/>
      <c r="D79" s="11"/>
      <c r="E79" s="12"/>
      <c r="F79" s="53"/>
      <c r="G79" s="42"/>
      <c r="H79" s="12"/>
    </row>
    <row r="80" ht="57" customHeight="1">
      <c r="A80" t="s" s="26">
        <v>99</v>
      </c>
      <c r="B80" s="11"/>
      <c r="C80" s="11"/>
      <c r="D80" s="11"/>
      <c r="E80" s="12"/>
      <c r="F80" s="53"/>
      <c r="G80" s="42"/>
      <c r="H80" s="12"/>
    </row>
    <row r="81" ht="18.75" customHeight="1">
      <c r="A81" s="54"/>
      <c r="B81" s="55"/>
      <c r="C81" s="55"/>
      <c r="D81" s="55"/>
      <c r="E81" s="55"/>
      <c r="F81" s="55"/>
      <c r="G81" s="55"/>
      <c r="H81" s="55"/>
    </row>
  </sheetData>
  <mergeCells count="34">
    <mergeCell ref="A4:H4"/>
    <mergeCell ref="B5:H5"/>
    <mergeCell ref="A7:H7"/>
    <mergeCell ref="B14:G14"/>
    <mergeCell ref="A15:H15"/>
    <mergeCell ref="B27:G27"/>
    <mergeCell ref="A28:H28"/>
    <mergeCell ref="A35:H35"/>
    <mergeCell ref="B38:G38"/>
    <mergeCell ref="A39:H39"/>
    <mergeCell ref="A31:H31"/>
    <mergeCell ref="B34:G34"/>
    <mergeCell ref="B47:G47"/>
    <mergeCell ref="A48:H48"/>
    <mergeCell ref="B54:H54"/>
    <mergeCell ref="B56:G56"/>
    <mergeCell ref="A57:H57"/>
    <mergeCell ref="B60:G60"/>
    <mergeCell ref="A61:H61"/>
    <mergeCell ref="B65:G65"/>
    <mergeCell ref="A71:H71"/>
    <mergeCell ref="A66:H66"/>
    <mergeCell ref="B70:G70"/>
    <mergeCell ref="A73:H73"/>
    <mergeCell ref="A79:E79"/>
    <mergeCell ref="A80:E80"/>
    <mergeCell ref="G80:H80"/>
    <mergeCell ref="A74:E74"/>
    <mergeCell ref="G74:H74"/>
    <mergeCell ref="A75:H75"/>
    <mergeCell ref="A76:H76"/>
    <mergeCell ref="A77:H77"/>
    <mergeCell ref="A78:H78"/>
    <mergeCell ref="G79:H79"/>
  </mergeCells>
  <conditionalFormatting sqref="C6 F6:G6 C8:C13 E8:G13 H14 C16:C26 E16:G26 H27 C29:C30 E29:G30 C32:C33 F32:G32 E33:G33 H34 C36:C37 E36:G37 H38 C40:C46 E40:G46 H47 C49:C53 E49:G53 C55 E55:G55 H56 C58:C59 E58:G59 H60 C62:C64 E62:G64 H65 C67:C69 E67:G69 H70 C72 E72:G72 G74 G79:G80">
    <cfRule type="cellIs" dxfId="0" priority="1" operator="lessThan" stopIfTrue="1">
      <formula>0</formula>
    </cfRule>
  </conditionalFormatting>
  <hyperlinks>
    <hyperlink ref="H26" r:id="rId1" location="" tooltip="" display="https://shopee.tw/%E3%80%90%E5%8F%B0%E7%81%A3%E8%A3%BD%E3%80%911.2%E5%90%8B-%E5%B0%BC%E9%BE%8D%E8%BC%AA-%E8%90%AC%E5%90%91%E8%BC%AA-%E6%8E%A8%E8%BB%8A%E8%BC%AA-%E7%85%9E%E8%BB%8A%E8%BC%AA-%E9%9D%9C%E9%9F%B3%E8%BC%AA-%E7%83%8F%E9%BE%9C%E8%BB%8A%E8%BC%AA-%E5%82%A2%E4%BF%B1%E8%BC%AA-%E5%AC%B0%E5%85%92%E5%BA%8A%E8%BC%AA-%E5%B0%8F%E8%BC%AA%E5%AD%90-%E8%BC%95%E5%9E%8B%E8%BC%AA-%E5%B0%8F%E5%9E%8B%E8%BC%AA-i.453475202.21732273352"/>
    <hyperlink ref="H32" r:id="rId2" location="" tooltip="" display="https://www.projectktpe.com/products"/>
    <hyperlink ref="H36" r:id="rId3" location="" tooltip="" display="https://www.projectktpe.com/products"/>
  </hyperlinks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